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Flujos" sheetId="2" state="visible" r:id="rId4"/>
    <sheet name="Costo mensual" sheetId="3" state="visible" r:id="rId5"/>
    <sheet name="Proyec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<sst xmlns="http://schemas.openxmlformats.org/spreadsheetml/2006/main" count="87" uniqueCount="81">
  <si>
    <t xml:space="preserve">Parámetro</t>
  </si>
  <si>
    <t xml:space="preserve">Valor</t>
  </si>
  <si>
    <t xml:space="preserve">Nota</t>
  </si>
  <si>
    <t xml:space="preserve">Plan de n8n</t>
  </si>
  <si>
    <t xml:space="preserve">Pro</t>
  </si>
  <si>
    <t xml:space="preserve">Nube gestionada</t>
  </si>
  <si>
    <t xml:space="preserve">Precio del plan (EUR por mes)</t>
  </si>
  <si>
    <t xml:space="preserve">Facturación anual, página oficial de precios (octubre de 2026)</t>
  </si>
  <si>
    <t xml:space="preserve">Cupo de ejecuciones por mes</t>
  </si>
  <si>
    <t xml:space="preserve">Al superarlo, las ejecuciones nuevas fallan</t>
  </si>
  <si>
    <t xml:space="preserve">Tipo de cambio EUR a USD</t>
  </si>
  <si>
    <t xml:space="preserve">Valor de ejemplo: reemplazar por la cotización del día</t>
  </si>
  <si>
    <t xml:space="preserve">Modelo A: USD por millón de tokens de entrada</t>
  </si>
  <si>
    <t xml:space="preserve">Precio hipotético de un modelo de gama alta</t>
  </si>
  <si>
    <t xml:space="preserve">Modelo A: USD por millón de tokens de salida</t>
  </si>
  <si>
    <t xml:space="preserve">Precio hipotético</t>
  </si>
  <si>
    <t xml:space="preserve">Modelo B: USD por millón de tokens de entrada</t>
  </si>
  <si>
    <t xml:space="preserve">Precio hipotético de un modelo económico</t>
  </si>
  <si>
    <t xml:space="preserve">Modelo B: USD por millón de tokens de salida</t>
  </si>
  <si>
    <t xml:space="preserve">API de vuelos: USD por consulta</t>
  </si>
  <si>
    <t xml:space="preserve">Precio hipotético del proveedor externo</t>
  </si>
  <si>
    <t xml:space="preserve">Flujo</t>
  </si>
  <si>
    <t xml:space="preserve">Trigger</t>
  </si>
  <si>
    <t xml:space="preserve">Ejecuciones por mes</t>
  </si>
  <si>
    <t xml:space="preserve">Modelo de IA</t>
  </si>
  <si>
    <t xml:space="preserve">Tokens de entrada por ejecución</t>
  </si>
  <si>
    <t xml:space="preserve">Tokens de salida por ejecución</t>
  </si>
  <si>
    <t xml:space="preserve">Consultas a API paga por ejecución</t>
  </si>
  <si>
    <t xml:space="preserve">Crece con las reservas</t>
  </si>
  <si>
    <t xml:space="preserve">F1 Confirmación de reservas</t>
  </si>
  <si>
    <t xml:space="preserve">Webhook de la plataforma de reservas</t>
  </si>
  <si>
    <t xml:space="preserve">Ninguno</t>
  </si>
  <si>
    <t xml:space="preserve">Sí</t>
  </si>
  <si>
    <t xml:space="preserve">F2 Clasificación de consultas</t>
  </si>
  <si>
    <t xml:space="preserve">Email entrante</t>
  </si>
  <si>
    <t xml:space="preserve">Modelo A</t>
  </si>
  <si>
    <t xml:space="preserve">F3 Recordatorios de pago</t>
  </si>
  <si>
    <t xml:space="preserve">Programado cada hora</t>
  </si>
  <si>
    <t xml:space="preserve">F4 Monitor de precios de vuelos</t>
  </si>
  <si>
    <t xml:space="preserve">Programado cada 15 minutos</t>
  </si>
  <si>
    <t xml:space="preserve">No</t>
  </si>
  <si>
    <t xml:space="preserve">Ejecuciones</t>
  </si>
  <si>
    <t xml:space="preserve">Parte del cupo usado</t>
  </si>
  <si>
    <t xml:space="preserve">Plataforma prorrateada (USD)</t>
  </si>
  <si>
    <t xml:space="preserve">IA (USD)</t>
  </si>
  <si>
    <t xml:space="preserve">API externa (USD)</t>
  </si>
  <si>
    <t xml:space="preserve">Total del flujo (USD)</t>
  </si>
  <si>
    <t xml:space="preserve">Costo por ejecución (USD)</t>
  </si>
  <si>
    <t xml:space="preserve">Parte del gasto total</t>
  </si>
  <si>
    <t xml:space="preserve">Portafolio</t>
  </si>
  <si>
    <t xml:space="preserve">En la fila Portafolio, la columna C muestra qué parte del cupo del plan usa el portafolio completo.</t>
  </si>
  <si>
    <t xml:space="preserve">Crecimiento mensual de los flujos ligados a reservas</t>
  </si>
  <si>
    <t xml:space="preserve">Escenarios sugeridos: conservador 1%, base 3%, estrés 6%</t>
  </si>
  <si>
    <t xml:space="preserve">Ejecuciones de F2 por mes (con o sin batching)</t>
  </si>
  <si>
    <t xml:space="preserve">Sin batching: igual a la hoja Flujos (3.000). Con batching cada 30 minutos: escribir 1440</t>
  </si>
  <si>
    <t xml:space="preserve">Ejecuciones de F4 por mes (según frecuencia)</t>
  </si>
  <si>
    <t xml:space="preserve">Cada 15 minutos: igual a la hoja Flujos (2.880). Cada 30 minutos: escribir 1440</t>
  </si>
  <si>
    <t xml:space="preserve">Mes</t>
  </si>
  <si>
    <t xml:space="preserve">Factor estacional</t>
  </si>
  <si>
    <t xml:space="preserve">Factor de crecimiento</t>
  </si>
  <si>
    <t xml:space="preserve">F1</t>
  </si>
  <si>
    <t xml:space="preserve">F2</t>
  </si>
  <si>
    <t xml:space="preserve">F3</t>
  </si>
  <si>
    <t xml:space="preserve">F4</t>
  </si>
  <si>
    <t xml:space="preserve">Total del portafolio</t>
  </si>
  <si>
    <t xml:space="preserve">Cupo del plan</t>
  </si>
  <si>
    <t xml:space="preserve">¿Supera el cupo?</t>
  </si>
  <si>
    <t xml:space="preserve">Octubre</t>
  </si>
  <si>
    <t xml:space="preserve">Noviembre</t>
  </si>
  <si>
    <t xml:space="preserve">Diciembre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</si>
  <si>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</si>
  <si>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</si>
  <si>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</si>
  <si>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</si>
  <si>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</si>
  <si>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</si>
  <si>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</si>
  <si>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</si>
  <si>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</si>
  <si>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Meses que superan el cupo</t>
  </si>
  <si>
    <t xml:space="preserve">Máximo mensual del año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</si>
</sst>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0.0000"/>
    <numFmt numFmtId="168" formatCode="0%"/>
    <numFmt numFmtId="169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F00FF"/>
        <bgColor rgb="FF800080"/>
      </patternFill>
    </fill>
    <fill>
      <patternFill patternType="solid">
        <fgColor rgb="FFFEFE1E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E1E"/>
      <rgbColor rgb="FFFF00FF"/>
      <rgbColor rgb="FF00FFFF"/>
      <rgbColor rgb="FF800000"/>
      <rgbColor rgb="FF008000"/>
      <rgbColor rgb="FF000080"/>
      <rgbColor rgb="FF808000"/>
      <rgbColor rgb="FF8F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3" t="n">
        <v>50</v>
      </c>
      <c r="C3" s="2" t="s">
        <v>7</v>
      </c>
    </row>
    <row r="4" customFormat="false" ht="15" hidden="false" customHeight="false" outlineLevel="0" collapsed="false">
      <c r="A4" s="2" t="s">
        <v>8</v>
      </c>
      <c r="B4" s="3" t="n">
        <v>10000</v>
      </c>
      <c r="C4" s="2" t="s">
        <v>9</v>
      </c>
    </row>
    <row r="5" customFormat="false" ht="15" hidden="false" customHeight="false" outlineLevel="0" collapsed="false">
      <c r="A5" s="2" t="s">
        <v>10</v>
      </c>
      <c r="B5" s="3" t="n">
        <v>1.15</v>
      </c>
      <c r="C5" s="2" t="s">
        <v>11</v>
      </c>
    </row>
    <row r="6" customFormat="false" ht="15" hidden="false" customHeight="false" outlineLevel="0" collapsed="false">
      <c r="A6" s="2" t="s">
        <v>12</v>
      </c>
      <c r="B6" s="3" t="n">
        <v>3</v>
      </c>
      <c r="C6" s="2" t="s">
        <v>13</v>
      </c>
    </row>
    <row r="7" customFormat="false" ht="15" hidden="false" customHeight="false" outlineLevel="0" collapsed="false">
      <c r="A7" s="2" t="s">
        <v>14</v>
      </c>
      <c r="B7" s="3" t="n">
        <v>15</v>
      </c>
      <c r="C7" s="2" t="s">
        <v>15</v>
      </c>
    </row>
    <row r="8" customFormat="false" ht="15" hidden="false" customHeight="false" outlineLevel="0" collapsed="false">
      <c r="A8" s="2" t="s">
        <v>16</v>
      </c>
      <c r="B8" s="3" t="n">
        <v>0.25</v>
      </c>
      <c r="C8" s="2" t="s">
        <v>17</v>
      </c>
    </row>
    <row r="9" customFormat="false" ht="15" hidden="false" customHeight="false" outlineLevel="0" collapsed="false">
      <c r="A9" s="2" t="s">
        <v>18</v>
      </c>
      <c r="B9" s="3" t="n">
        <v>1.25</v>
      </c>
      <c r="C9" s="2" t="s">
        <v>15</v>
      </c>
    </row>
    <row r="10" customFormat="false" ht="15" hidden="false" customHeight="false" outlineLevel="0" collapsed="false">
      <c r="A10" s="2" t="s">
        <v>19</v>
      </c>
      <c r="B10" s="3" t="n">
        <v>0.002</v>
      </c>
      <c r="C10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7" min="5" style="0" width="16"/>
    <col collapsed="false" customWidth="true" hidden="false" outlineLevel="0" max="8" min="8" style="0" width="14"/>
  </cols>
  <sheetData>
    <row r="1" customFormat="false" ht="39.5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26.85" hidden="false" customHeight="false" outlineLevel="0" collapsed="false">
      <c r="A2" s="2" t="s">
        <v>29</v>
      </c>
      <c r="B2" s="2" t="s">
        <v>30</v>
      </c>
      <c r="C2" s="3" t="n">
        <v>1800</v>
      </c>
      <c r="D2" s="3" t="s">
        <v>31</v>
      </c>
      <c r="E2" s="3" t="n">
        <v>0</v>
      </c>
      <c r="F2" s="3" t="n">
        <v>0</v>
      </c>
      <c r="G2" s="3" t="n">
        <v>0</v>
      </c>
      <c r="H2" s="2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3" t="n">
        <v>3000</v>
      </c>
      <c r="D3" s="3" t="s">
        <v>35</v>
      </c>
      <c r="E3" s="3" t="n">
        <v>1200</v>
      </c>
      <c r="F3" s="3" t="n">
        <v>200</v>
      </c>
      <c r="G3" s="3" t="n">
        <v>0</v>
      </c>
      <c r="H3" s="2" t="s">
        <v>32</v>
      </c>
    </row>
    <row r="4" customFormat="false" ht="15" hidden="false" customHeight="false" outlineLevel="0" collapsed="false">
      <c r="A4" s="2" t="s">
        <v>36</v>
      </c>
      <c r="B4" s="2" t="s">
        <v>37</v>
      </c>
      <c r="C4" s="3" t="n">
        <v>720</v>
      </c>
      <c r="D4" s="3" t="s">
        <v>31</v>
      </c>
      <c r="E4" s="3" t="n">
        <v>0</v>
      </c>
      <c r="F4" s="3" t="n">
        <v>0</v>
      </c>
      <c r="G4" s="3" t="n">
        <v>0</v>
      </c>
      <c r="H4" s="2" t="s">
        <v>32</v>
      </c>
    </row>
    <row r="5" customFormat="false" ht="15" hidden="false" customHeight="false" outlineLevel="0" collapsed="false">
      <c r="A5" s="2" t="s">
        <v>38</v>
      </c>
      <c r="B5" s="2" t="s">
        <v>39</v>
      </c>
      <c r="C5" s="3" t="n">
        <v>2880</v>
      </c>
      <c r="D5" s="3" t="s">
        <v>31</v>
      </c>
      <c r="E5" s="3" t="n">
        <v>0</v>
      </c>
      <c r="F5" s="3" t="n">
        <v>0</v>
      </c>
      <c r="G5" s="3" t="n">
        <v>1</v>
      </c>
      <c r="H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39.55" hidden="false" customHeight="false" outlineLevel="0" collapsed="false">
      <c r="A1" s="1" t="s">
        <v>21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customFormat="false" ht="15" hidden="false" customHeight="false" outlineLevel="0" collapsed="false">
      <c r="A2" s="2" t="str">
        <f aca="false">Flujos!A2</f>
        <v>F1 Confirmación de reservas</v>
      </c>
      <c r="B2" s="2" t="n">
        <f aca="false">Flujos!C2</f>
        <v>1800</v>
      </c>
      <c r="C2" s="4" t="n">
        <f aca="false">B2/SUM($B$2:$B$5)</f>
        <v>0.214285714285714</v>
      </c>
      <c r="D2" s="5" t="n">
        <f aca="false">C2*Parámetros!$B$3*Parámetros!$B$5</f>
        <v>12.3214285714286</v>
      </c>
      <c r="E2" s="5" t="n">
        <f aca="false">IF(Flujos!D2="Modelo A",B2*(Flujos!E2*Parámetros!$B$6+Flujos!F2*Parámetros!$B$7)/1000000,IF(Flujos!D2="Modelo B",B2*(Flujos!E2*Parámetros!$B$8+Flujos!F2*Parámetros!$B$9)/1000000,0))</f>
        <v>0</v>
      </c>
      <c r="F2" s="5" t="n">
        <f aca="false">B2*Flujos!G2*Parámetros!$B$10</f>
        <v>0</v>
      </c>
      <c r="G2" s="5" t="n">
        <f aca="false">D2+E2+F2</f>
        <v>12.3214285714286</v>
      </c>
      <c r="H2" s="6" t="n">
        <f aca="false">G2/B2</f>
        <v>0.00684523809523809</v>
      </c>
      <c r="I2" s="4" t="n">
        <f aca="false">G2/$G$6</f>
        <v>0.148343710226686</v>
      </c>
    </row>
    <row r="3" customFormat="false" ht="15" hidden="false" customHeight="false" outlineLevel="0" collapsed="false">
      <c r="A3" s="2" t="str">
        <f aca="false">Flujos!A3</f>
        <v>F2 Clasificación de consultas</v>
      </c>
      <c r="B3" s="2" t="n">
        <f aca="false">Flujos!C3</f>
        <v>3000</v>
      </c>
      <c r="C3" s="4" t="n">
        <f aca="false">B3/SUM($B$2:$B$5)</f>
        <v>0.357142857142857</v>
      </c>
      <c r="D3" s="5" t="n">
        <f aca="false">C3*Parámetros!$B$3*Parámetros!$B$5</f>
        <v>20.5357142857143</v>
      </c>
      <c r="E3" s="5" t="n">
        <f aca="false">IF(Flujos!D3="Modelo A",B3*(Flujos!E3*Parámetros!$B$6+Flujos!F3*Parámetros!$B$7)/1000000,IF(Flujos!D3="Modelo B",B3*(Flujos!E3*Parámetros!$B$8+Flujos!F3*Parámetros!$B$9)/1000000,0))</f>
        <v>19.8</v>
      </c>
      <c r="F3" s="5" t="n">
        <f aca="false">B3*Flujos!G3*Parámetros!$B$10</f>
        <v>0</v>
      </c>
      <c r="G3" s="5" t="n">
        <f aca="false">D3+E3+F3</f>
        <v>40.3357142857143</v>
      </c>
      <c r="H3" s="6" t="n">
        <f aca="false">G3/B3</f>
        <v>0.0134452380952381</v>
      </c>
      <c r="I3" s="4" t="n">
        <f aca="false">G3/$G$6</f>
        <v>0.485621409652231</v>
      </c>
    </row>
    <row r="4" customFormat="false" ht="15" hidden="false" customHeight="false" outlineLevel="0" collapsed="false">
      <c r="A4" s="2" t="str">
        <f aca="false">Flujos!A4</f>
        <v>F3 Recordatorios de pago</v>
      </c>
      <c r="B4" s="2" t="n">
        <f aca="false">Flujos!C4</f>
        <v>720</v>
      </c>
      <c r="C4" s="4" t="n">
        <f aca="false">B4/SUM($B$2:$B$5)</f>
        <v>0.0857142857142857</v>
      </c>
      <c r="D4" s="5" t="n">
        <f aca="false">C4*Parámetros!$B$3*Parámetros!$B$5</f>
        <v>4.92857142857143</v>
      </c>
      <c r="E4" s="5" t="n">
        <f aca="false">IF(Flujos!D4="Modelo A",B4*(Flujos!E4*Parámetros!$B$6+Flujos!F4*Parámetros!$B$7)/1000000,IF(Flujos!D4="Modelo B",B4*(Flujos!E4*Parámetros!$B$8+Flujos!F4*Parámetros!$B$9)/1000000,0))</f>
        <v>0</v>
      </c>
      <c r="F4" s="5" t="n">
        <f aca="false">B4*Flujos!G4*Parámetros!$B$10</f>
        <v>0</v>
      </c>
      <c r="G4" s="5" t="n">
        <f aca="false">D4+E4+F4</f>
        <v>4.92857142857143</v>
      </c>
      <c r="H4" s="6" t="n">
        <f aca="false">G4/B4</f>
        <v>0.00684523809523809</v>
      </c>
      <c r="I4" s="4" t="n">
        <f aca="false">G4/$G$6</f>
        <v>0.0593374840906746</v>
      </c>
    </row>
    <row r="5" customFormat="false" ht="15" hidden="false" customHeight="false" outlineLevel="0" collapsed="false">
      <c r="A5" s="2" t="str">
        <f aca="false">Flujos!A5</f>
        <v>F4 Monitor de precios de vuelos</v>
      </c>
      <c r="B5" s="2" t="n">
        <f aca="false">Flujos!C5</f>
        <v>2880</v>
      </c>
      <c r="C5" s="4" t="n">
        <f aca="false">B5/SUM($B$2:$B$5)</f>
        <v>0.342857142857143</v>
      </c>
      <c r="D5" s="5" t="n">
        <f aca="false">C5*Parámetros!$B$3*Parámetros!$B$5</f>
        <v>19.7142857142857</v>
      </c>
      <c r="E5" s="5" t="n">
        <f aca="false">IF(Flujos!D5="Modelo A",B5*(Flujos!E5*Parámetros!$B$6+Flujos!F5*Parámetros!$B$7)/1000000,IF(Flujos!D5="Modelo B",B5*(Flujos!E5*Parámetros!$B$8+Flujos!F5*Parámetros!$B$9)/1000000,0))</f>
        <v>0</v>
      </c>
      <c r="F5" s="5" t="n">
        <f aca="false">B5*Flujos!G5*Parámetros!$B$10</f>
        <v>5.76</v>
      </c>
      <c r="G5" s="5" t="n">
        <f aca="false">D5+E5+F5</f>
        <v>25.4742857142857</v>
      </c>
      <c r="H5" s="6" t="n">
        <f aca="false">G5/B5</f>
        <v>0.0088452380952381</v>
      </c>
      <c r="I5" s="4" t="n">
        <f aca="false">G5/$G$6</f>
        <v>0.306697396030408</v>
      </c>
    </row>
    <row r="6" customFormat="false" ht="15" hidden="false" customHeight="false" outlineLevel="0" collapsed="false">
      <c r="A6" s="7" t="s">
        <v>49</v>
      </c>
      <c r="B6" s="7" t="n">
        <f aca="false">SUM(B2:B5)</f>
        <v>8400</v>
      </c>
      <c r="C6" s="8" t="n">
        <f aca="false">B6/Parámetros!B4</f>
        <v>0.84</v>
      </c>
      <c r="D6" s="9" t="n">
        <f aca="false">SUM(D2:D5)</f>
        <v>57.5</v>
      </c>
      <c r="E6" s="9" t="n">
        <f aca="false">SUM(E2:E5)</f>
        <v>19.8</v>
      </c>
      <c r="F6" s="9" t="n">
        <f aca="false">SUM(F2:F5)</f>
        <v>5.76</v>
      </c>
      <c r="G6" s="9" t="n">
        <f aca="false">SUM(G2:G5)</f>
        <v>83.06</v>
      </c>
      <c r="H6" s="10" t="n">
        <f aca="false">G6/B6</f>
        <v>0.00988809523809524</v>
      </c>
      <c r="I6" s="8" t="n">
        <f aca="false">SUM(I2:I5)</f>
        <v>1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39.55" hidden="false" customHeight="false" outlineLevel="0" collapsed="false">
      <c r="A8" s="2" t="s">
        <v>50</v>
      </c>
      <c r="B8" s="2"/>
      <c r="C8" s="2"/>
      <c r="D8" s="2"/>
      <c r="E8" s="2"/>
      <c r="F8" s="2"/>
      <c r="G8" s="2"/>
      <c r="H8" s="2"/>
      <c r="I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7" min="4" style="0" width="9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64.9" hidden="false" customHeight="false" outlineLevel="0" collapsed="false">
      <c r="A1" s="2" t="s">
        <v>51</v>
      </c>
      <c r="B1" s="11" t="n">
        <v>0.03</v>
      </c>
      <c r="C1" s="2" t="s">
        <v>52</v>
      </c>
      <c r="D1" s="2"/>
      <c r="E1" s="2"/>
      <c r="F1" s="2"/>
      <c r="G1" s="2"/>
      <c r="H1" s="2"/>
      <c r="I1" s="2"/>
      <c r="J1" s="2"/>
    </row>
    <row r="2" customFormat="false" ht="90.25" hidden="false" customHeight="false" outlineLevel="0" collapsed="false">
      <c r="A2" s="2" t="s">
        <v>53</v>
      </c>
      <c r="B2" s="3" t="n">
        <f aca="false">Flujos!C3</f>
        <v>3000</v>
      </c>
      <c r="C2" s="2" t="s">
        <v>54</v>
      </c>
      <c r="D2" s="2"/>
      <c r="E2" s="2"/>
      <c r="F2" s="2"/>
      <c r="G2" s="2"/>
      <c r="H2" s="2"/>
      <c r="I2" s="2"/>
      <c r="J2" s="2"/>
    </row>
    <row r="3" customFormat="false" ht="90.25" hidden="false" customHeight="false" outlineLevel="0" collapsed="false">
      <c r="A3" s="2" t="s">
        <v>55</v>
      </c>
      <c r="B3" s="3" t="n">
        <f aca="false">Flujos!C5</f>
        <v>2880</v>
      </c>
      <c r="C3" s="2" t="s">
        <v>56</v>
      </c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6.85" hidden="false" customHeight="false" outlineLevel="0" collapsed="false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66</v>
      </c>
    </row>
    <row r="6" customFormat="false" ht="15" hidden="false" customHeight="false" outlineLevel="0" collapsed="false">
      <c r="A6" s="2" t="s">
        <v>67</v>
      </c>
      <c r="B6" s="3" t="n">
        <v>1</v>
      </c>
      <c r="C6" s="12" t="n">
        <f aca="false">(1+$B$1)^0</f>
        <v>1</v>
      </c>
      <c r="D6" s="2" t="n">
        <f aca="false">ROUND(Flujos!$C$2*B6*C6,0)</f>
        <v>1800</v>
      </c>
      <c r="E6" s="2" t="n">
        <f aca="false">ROUND($B$2*B6*C6,0)</f>
        <v>3000</v>
      </c>
      <c r="F6" s="2" t="n">
        <f aca="false">ROUND(Flujos!$C$4*B6*C6,0)</f>
        <v>720</v>
      </c>
      <c r="G6" s="2" t="n">
        <f aca="false">$B$3</f>
        <v>2880</v>
      </c>
      <c r="H6" s="2" t="n">
        <f aca="false">SUM(D6:G6)</f>
        <v>8400</v>
      </c>
      <c r="I6" s="2" t="n">
        <f aca="false">Parámetros!$B$4</f>
        <v>10000</v>
      </c>
      <c r="J6" s="2" t="str">
        <f aca="false">IF(H6&gt;I6,"SÍ: las ejecuciones nuevas fallan","No")</f>
        <v>No</v>
      </c>
    </row>
    <row r="7" customFormat="false" ht="15" hidden="false" customHeight="false" outlineLevel="0" collapsed="false">
      <c r="A7" s="2" t="s">
        <v>68</v>
      </c>
      <c r="B7" s="3" t="n">
        <v>1</v>
      </c>
      <c r="C7" s="12" t="n">
        <f aca="false">(1+$B$1)^1</f>
        <v>1.03</v>
      </c>
      <c r="D7" s="2" t="n">
        <f aca="false">ROUND(Flujos!$C$2*B7*C7,0)</f>
        <v>1854</v>
      </c>
      <c r="E7" s="2" t="n">
        <f aca="false">ROUND($B$2*B7*C7,0)</f>
        <v>3090</v>
      </c>
      <c r="F7" s="2" t="n">
        <f aca="false">ROUND(Flujos!$C$4*B7*C7,0)</f>
        <v>742</v>
      </c>
      <c r="G7" s="2" t="n">
        <f aca="false">$B$3</f>
        <v>2880</v>
      </c>
      <c r="H7" s="2" t="n">
        <f aca="false">SUM(D7:G7)</f>
        <v>8566</v>
      </c>
      <c r="I7" s="2" t="n">
        <f aca="false">Parámetros!$B$4</f>
        <v>10000</v>
      </c>
      <c r="J7" s="2" t="str">
        <f aca="false">IF(H7&gt;I7,"SÍ: las ejecuciones nuevas fallan","No")</f>
        <v>No</v>
      </c>
    </row>
    <row r="8" customFormat="false" ht="26.85" hidden="false" customHeight="false" outlineLevel="0" collapsed="false">
      <c r="A8" s="2" t="s">
        <v>69</v>
      </c>
      <c r="B8" s="3" t="n">
        <v>1.4</v>
      </c>
      <c r="C8" s="12" t="n">
        <f aca="false">(1+$B$1)^2</f>
        <v>1.0609</v>
      </c>
      <c r="D8" s="2" t="n">
        <f aca="false">ROUND(Flujos!$C$2*B8*C8,0)</f>
        <v>2673</v>
      </c>
      <c r="E8" s="2" t="n">
        <f aca="false">ROUND($B$2*B8*C8,0)</f>
        <v>4456</v>
      </c>
      <c r="F8" s="2" t="n">
        <f aca="false">ROUND(Flujos!$C$4*B8*C8,0)</f>
        <v>1069</v>
      </c>
      <c r="G8" s="2" t="n">
        <f aca="false">$B$3</f>
        <v>2880</v>
      </c>
      <c r="H8" s="2" t="n">
        <f aca="false">SUM(D8:G8)</f>
        <v>11078</v>
      </c>
      <c r="I8" s="2" t="n">
        <f aca="false">Parámetros!$B$4</f>
        <v>10000</v>
      </c>
      <c r="J8" s="2" t="str">
        <f aca="false">IF(H8&gt;I8,"SÍ: las ejecuciones nuevas fallan","No")</f>
        <v>SÍ: las ejecuciones nuevas fallan</v>
      </c>
    </row>
    <row r="9" customFormat="false" ht="26.85" hidden="false" customHeight="false" outlineLevel="0" collapsed="false">
      <c r="A9" s="2" t="s">
        <v>70</v>
      </c>
      <c r="B9" s="3" t="n">
        <v>1.8</v>
      </c>
      <c r="C9" s="12" t="n">
        <f aca="false">(1+$B$1)^3</f>
        <v>1.092727</v>
      </c>
      <c r="D9" s="2" t="n">
        <f aca="false">ROUND(Flujos!$C$2*B9*C9,0)</f>
        <v>3540</v>
      </c>
      <c r="E9" s="2" t="n">
        <f aca="false">ROUND($B$2*B9*C9,0)</f>
        <v>5901</v>
      </c>
      <c r="F9" s="2" t="n">
        <f aca="false">ROUND(Flujos!$C$4*B9*C9,0)</f>
        <v>1416</v>
      </c>
      <c r="G9" s="2" t="n">
        <f aca="false">$B$3</f>
        <v>2880</v>
      </c>
      <c r="H9" s="2" t="n">
        <f aca="false">SUM(D9:G9)</f>
        <v>13737</v>
      </c>
      <c r="I9" s="2" t="n">
        <f aca="false">Parámetros!$B$4</f>
        <v>10000</v>
      </c>
      <c r="J9" s="2" t="str">
        <f aca="false">IF(H9&gt;I9,"SÍ: las ejecuciones nuevas fallan","No")</f>
        <v>SÍ: las ejecuciones nuevas fallan</v>
      </c>
    </row>
    <row r="10" customFormat="false" ht="26.85" hidden="false" customHeight="false" outlineLevel="0" collapsed="false">
      <c r="A10" s="2" t="s">
        <v>71</v>
      </c>
      <c r="B10" s="3" t="n">
        <v>1.5</v>
      </c>
      <c r="C10" s="12" t="n">
        <f aca="false">(1+$B$1)^4</f>
        <v>1.12550881</v>
      </c>
      <c r="D10" s="2" t="n">
        <f aca="false">ROUND(Flujos!$C$2*B10*C10,0)</f>
        <v>3039</v>
      </c>
      <c r="E10" s="2" t="n">
        <f aca="false">ROUND($B$2*B10*C10,0)</f>
        <v>5065</v>
      </c>
      <c r="F10" s="2" t="n">
        <f aca="false">ROUND(Flujos!$C$4*B10*C10,0)</f>
        <v>1216</v>
      </c>
      <c r="G10" s="2" t="n">
        <f aca="false">$B$3</f>
        <v>2880</v>
      </c>
      <c r="H10" s="2" t="n">
        <f aca="false">SUM(D10:G10)</f>
        <v>12200</v>
      </c>
      <c r="I10" s="2" t="n">
        <f aca="false">Parámetros!$B$4</f>
        <v>10000</v>
      </c>
      <c r="J10" s="2" t="str">
        <f aca="false">IF(H10&gt;I10,"SÍ: las ejecuciones nuevas fallan","No")</f>
        <v>SÍ: las ejecuciones nuevas fallan</v>
      </c>
    </row>
    <row r="11" customFormat="false" ht="15" hidden="false" customHeight="false" outlineLevel="0" collapsed="false">
      <c r="A11" s="2" t="s">
        <v>72</v>
      </c>
      <c r="B11" s="3" t="n">
        <v>1</v>
      </c>
      <c r="C11" s="12" t="n">
        <f aca="false">(1+$B$1)^5</f>
        <v>1.1592740743</v>
      </c>
      <c r="D11" s="2" t="n">
        <f aca="false">ROUND(Flujos!$C$2*B11*C11,0)</f>
        <v>2087</v>
      </c>
      <c r="E11" s="2" t="n">
        <f aca="false">ROUND($B$2*B11*C11,0)</f>
        <v>3478</v>
      </c>
      <c r="F11" s="2" t="n">
        <f aca="false">ROUND(Flujos!$C$4*B11*C11,0)</f>
        <v>835</v>
      </c>
      <c r="G11" s="2" t="n">
        <f aca="false">$B$3</f>
        <v>2880</v>
      </c>
      <c r="H11" s="2" t="n">
        <f aca="false">SUM(D11:G11)</f>
        <v>9280</v>
      </c>
      <c r="I11" s="2" t="n">
        <f aca="false">Parámetros!$B$4</f>
        <v>10000</v>
      </c>
      <c r="J11" s="2" t="str">
        <f aca="false">IF(H11&gt;I11,"SÍ: las ejecuciones nuevas fallan","No")</f>
        <v>No</v>
      </c>
    </row>
    <row r="12" customFormat="false" ht="15" hidden="false" customHeight="false" outlineLevel="0" collapsed="false">
      <c r="A12" s="2" t="s">
        <v>73</v>
      </c>
      <c r="B12" s="3" t="n">
        <v>1</v>
      </c>
      <c r="C12" s="12" t="n">
        <f aca="false">(1+$B$1)^6</f>
        <v>1.194052296529</v>
      </c>
      <c r="D12" s="2" t="n">
        <f aca="false">ROUND(Flujos!$C$2*B12*C12,0)</f>
        <v>2149</v>
      </c>
      <c r="E12" s="2" t="n">
        <f aca="false">ROUND($B$2*B12*C12,0)</f>
        <v>3582</v>
      </c>
      <c r="F12" s="2" t="n">
        <f aca="false">ROUND(Flujos!$C$4*B12*C12,0)</f>
        <v>860</v>
      </c>
      <c r="G12" s="2" t="n">
        <f aca="false">$B$3</f>
        <v>2880</v>
      </c>
      <c r="H12" s="2" t="n">
        <f aca="false">SUM(D12:G12)</f>
        <v>9471</v>
      </c>
      <c r="I12" s="2" t="n">
        <f aca="false">Parámetros!$B$4</f>
        <v>10000</v>
      </c>
      <c r="J12" s="2" t="str">
        <f aca="false">IF(H12&gt;I12,"SÍ: las ejecuciones nuevas fallan","No")</f>
        <v>No</v>
      </c>
    </row>
    <row r="13" customFormat="false" ht="15" hidden="false" customHeight="false" outlineLevel="0" collapsed="false">
      <c r="A13" s="2" t="s">
        <v>74</v>
      </c>
      <c r="B13" s="3" t="n">
        <v>1</v>
      </c>
      <c r="C13" s="12" t="n">
        <f aca="false">(1+$B$1)^7</f>
        <v>1.22987386542487</v>
      </c>
      <c r="D13" s="2" t="n">
        <f aca="false">ROUND(Flujos!$C$2*B13*C13,0)</f>
        <v>2214</v>
      </c>
      <c r="E13" s="2" t="n">
        <f aca="false">ROUND($B$2*B13*C13,0)</f>
        <v>3690</v>
      </c>
      <c r="F13" s="2" t="n">
        <f aca="false">ROUND(Flujos!$C$4*B13*C13,0)</f>
        <v>886</v>
      </c>
      <c r="G13" s="2" t="n">
        <f aca="false">$B$3</f>
        <v>2880</v>
      </c>
      <c r="H13" s="2" t="n">
        <f aca="false">SUM(D13:G13)</f>
        <v>9670</v>
      </c>
      <c r="I13" s="2" t="n">
        <f aca="false">Parámetros!$B$4</f>
        <v>10000</v>
      </c>
      <c r="J13" s="2" t="str">
        <f aca="false">IF(H13&gt;I13,"SÍ: las ejecuciones nuevas fallan","No")</f>
        <v>No</v>
      </c>
    </row>
    <row r="14" customFormat="false" ht="15" hidden="false" customHeight="false" outlineLevel="0" collapsed="false">
      <c r="A14" s="2" t="s">
        <v>75</v>
      </c>
      <c r="B14" s="3" t="n">
        <v>1</v>
      </c>
      <c r="C14" s="12" t="n">
        <f aca="false">(1+$B$1)^8</f>
        <v>1.26677008138762</v>
      </c>
      <c r="D14" s="2" t="n">
        <f aca="false">ROUND(Flujos!$C$2*B14*C14,0)</f>
        <v>2280</v>
      </c>
      <c r="E14" s="2" t="n">
        <f aca="false">ROUND($B$2*B14*C14,0)</f>
        <v>3800</v>
      </c>
      <c r="F14" s="2" t="n">
        <f aca="false">ROUND(Flujos!$C$4*B14*C14,0)</f>
        <v>912</v>
      </c>
      <c r="G14" s="2" t="n">
        <f aca="false">$B$3</f>
        <v>2880</v>
      </c>
      <c r="H14" s="2" t="n">
        <f aca="false">SUM(D14:G14)</f>
        <v>9872</v>
      </c>
      <c r="I14" s="2" t="n">
        <f aca="false">Parámetros!$B$4</f>
        <v>10000</v>
      </c>
      <c r="J14" s="2" t="str">
        <f aca="false">IF(H14&gt;I14,"SÍ: las ejecuciones nuevas fallan","No")</f>
        <v>No</v>
      </c>
    </row>
    <row r="15" customFormat="false" ht="26.85" hidden="false" customHeight="false" outlineLevel="0" collapsed="false">
      <c r="A15" s="2" t="s">
        <v>76</v>
      </c>
      <c r="B15" s="3" t="n">
        <v>1.3</v>
      </c>
      <c r="C15" s="12" t="n">
        <f aca="false">(1+$B$1)^9</f>
        <v>1.30477318382925</v>
      </c>
      <c r="D15" s="2" t="n">
        <f aca="false">ROUND(Flujos!$C$2*B15*C15,0)</f>
        <v>3053</v>
      </c>
      <c r="E15" s="2" t="n">
        <f aca="false">ROUND($B$2*B15*C15,0)</f>
        <v>5089</v>
      </c>
      <c r="F15" s="2" t="n">
        <f aca="false">ROUND(Flujos!$C$4*B15*C15,0)</f>
        <v>1221</v>
      </c>
      <c r="G15" s="2" t="n">
        <f aca="false">$B$3</f>
        <v>2880</v>
      </c>
      <c r="H15" s="2" t="n">
        <f aca="false">SUM(D15:G15)</f>
        <v>12243</v>
      </c>
      <c r="I15" s="2" t="n">
        <f aca="false">Parámetros!$B$4</f>
        <v>10000</v>
      </c>
      <c r="J15" s="2" t="str">
        <f aca="false">IF(H15&gt;I15,"SÍ: las ejecuciones nuevas fallan","No")</f>
        <v>SÍ: las ejecuciones nuevas fallan</v>
      </c>
    </row>
    <row r="16" customFormat="false" ht="26.85" hidden="false" customHeight="false" outlineLevel="0" collapsed="false">
      <c r="A16" s="2" t="s">
        <v>77</v>
      </c>
      <c r="B16" s="3" t="n">
        <v>1</v>
      </c>
      <c r="C16" s="12" t="n">
        <f aca="false">(1+$B$1)^10</f>
        <v>1.34391637934412</v>
      </c>
      <c r="D16" s="2" t="n">
        <f aca="false">ROUND(Flujos!$C$2*B16*C16,0)</f>
        <v>2419</v>
      </c>
      <c r="E16" s="2" t="n">
        <f aca="false">ROUND($B$2*B16*C16,0)</f>
        <v>4032</v>
      </c>
      <c r="F16" s="2" t="n">
        <f aca="false">ROUND(Flujos!$C$4*B16*C16,0)</f>
        <v>968</v>
      </c>
      <c r="G16" s="2" t="n">
        <f aca="false">$B$3</f>
        <v>2880</v>
      </c>
      <c r="H16" s="2" t="n">
        <f aca="false">SUM(D16:G16)</f>
        <v>10299</v>
      </c>
      <c r="I16" s="2" t="n">
        <f aca="false">Parámetros!$B$4</f>
        <v>10000</v>
      </c>
      <c r="J16" s="2" t="str">
        <f aca="false">IF(H16&gt;I16,"SÍ: las ejecuciones nuevas fallan","No")</f>
        <v>SÍ: las ejecuciones nuevas fallan</v>
      </c>
    </row>
    <row r="17" customFormat="false" ht="26.85" hidden="false" customHeight="false" outlineLevel="0" collapsed="false">
      <c r="A17" s="2" t="s">
        <v>78</v>
      </c>
      <c r="B17" s="3" t="n">
        <v>1</v>
      </c>
      <c r="C17" s="12" t="n">
        <f aca="false">(1+$B$1)^11</f>
        <v>1.38423387072445</v>
      </c>
      <c r="D17" s="2" t="n">
        <f aca="false">ROUND(Flujos!$C$2*B17*C17,0)</f>
        <v>2492</v>
      </c>
      <c r="E17" s="2" t="n">
        <f aca="false">ROUND($B$2*B17*C17,0)</f>
        <v>4153</v>
      </c>
      <c r="F17" s="2" t="n">
        <f aca="false">ROUND(Flujos!$C$4*B17*C17,0)</f>
        <v>997</v>
      </c>
      <c r="G17" s="2" t="n">
        <f aca="false">$B$3</f>
        <v>2880</v>
      </c>
      <c r="H17" s="2" t="n">
        <f aca="false">SUM(D17:G17)</f>
        <v>10522</v>
      </c>
      <c r="I17" s="2" t="n">
        <f aca="false">Parámetros!$B$4</f>
        <v>10000</v>
      </c>
      <c r="J17" s="2" t="str">
        <f aca="false">IF(H17&gt;I17,"SÍ: las ejecuciones nuevas fallan","No")</f>
        <v>SÍ: las ejecuciones nuevas fallan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7" t="s">
        <v>79</v>
      </c>
      <c r="B19" s="7" t="n">
        <f aca="false">COUNTIF(J6:J17,"SÍ*")</f>
        <v>6</v>
      </c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 t="s">
        <v>80</v>
      </c>
      <c r="B20" s="7" t="n">
        <f aca="false">MAX(H6:H17)</f>
        <v>13737</v>
      </c>
      <c r="C20" s="7"/>
      <c r="D20" s="7"/>
      <c r="E20" s="7"/>
      <c r="F20" s="7"/>
      <c r="G20" s="7"/>
      <c r="H20" s="7"/>
      <c r="I20" s="7"/>
      <c r="J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2026-10-02T11:31:51Z</dcterms:created>
  <dc:creator>openpyxl</dc:creator>
  <dc:description/>
  <dc:language>en-US</dc:language>
  <cp:lastModifiedBy/>
  <dcterms:modified xsi:type="dcterms:W3CDTF">2026-10-02T11:31:51Z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